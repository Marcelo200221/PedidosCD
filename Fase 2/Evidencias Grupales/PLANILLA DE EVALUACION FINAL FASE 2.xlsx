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9353449a8f9cae3a/Documentos/DUOC UC/2025/Capstone/Capstone 001/Evaluación N°3/Nueva carpeta/"/>
    </mc:Choice>
  </mc:AlternateContent>
  <xr:revisionPtr revIDLastSave="751" documentId="8_{2EFDF332-31E9-4C74-A6B5-E695634C1C45}" xr6:coauthVersionLast="47" xr6:coauthVersionMax="47" xr10:uidLastSave="{7D8B25CA-6C77-46A5-8F9B-56E7560218BD}"/>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5" i="1" l="1"/>
  <c r="B53" i="1"/>
  <c r="B42" i="1"/>
  <c r="B52" i="1"/>
  <c r="B41" i="1"/>
  <c r="B51" i="1"/>
  <c r="B40" i="1"/>
  <c r="J53" i="1"/>
  <c r="K53" i="1" s="1"/>
  <c r="H53" i="1"/>
  <c r="I53" i="1" s="1"/>
  <c r="F53" i="1"/>
  <c r="G53" i="1" s="1"/>
  <c r="E53" i="1"/>
  <c r="J52" i="1"/>
  <c r="K52" i="1" s="1"/>
  <c r="H52" i="1"/>
  <c r="I52" i="1" s="1"/>
  <c r="F52" i="1"/>
  <c r="G52" i="1" s="1"/>
  <c r="E52" i="1"/>
  <c r="J51" i="1"/>
  <c r="K51" i="1" s="1"/>
  <c r="H51" i="1"/>
  <c r="I51" i="1" s="1"/>
  <c r="F51" i="1"/>
  <c r="G51" i="1" s="1"/>
  <c r="E51" i="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E20" i="1"/>
  <c r="G20" i="1"/>
  <c r="I20" i="1"/>
  <c r="K14" i="1"/>
  <c r="C31" i="1" l="1"/>
  <c r="C32" i="1" s="1"/>
  <c r="K20" i="1"/>
  <c r="C20" i="1" s="1"/>
  <c r="C21" i="1" s="1"/>
  <c r="D4" i="1" l="1"/>
  <c r="C5" i="1"/>
  <c r="E5" i="1" s="1"/>
  <c r="C4" i="1"/>
  <c r="E4" i="1" l="1"/>
</calcChain>
</file>

<file path=xl/sharedStrings.xml><?xml version="1.0" encoding="utf-8"?>
<sst xmlns="http://schemas.openxmlformats.org/spreadsheetml/2006/main" count="137" uniqueCount="78">
  <si>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</si>
  <si>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</si>
  <si>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</si>
  <si>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</si>
  <si>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</si>
  <si>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</si>
  <si>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</si>
  <si>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</si>
  <si>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</si>
  <si>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</si>
  <si>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</si>
  <si>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</si>
  <si>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</si>
  <si>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</si>
  <si>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</si>
  <si>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</si>
  <si>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</si>
  <si>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</si>
  <si>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</si>
  <si>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</si>
  <si>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</si>
  <si>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</si>
  <si>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</si>
  <si>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</si>
  <si>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</si>
  <si>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</si>
  <si>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</si>
  <si>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</si>
  <si>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</si>
  <si>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</si>
  <si>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</si>
  <si>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</si>
  <si>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</si>
  <si>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</si>
  <si>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</si>
  <si>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</si>
  <si>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</si>
  <si>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</si>
  <si>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</si>
  <si>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</si>
  <si>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</si>
  <si>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</si>
  <si>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</si>
  <si>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</si>
  <si>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</si>
  <si>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</si>
  <si>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</si>
  <si>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</si>
  <si>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</si>
  <si>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</si>
  <si>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</si>
  <si>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</si>
  <si>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</si>
  <si>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</si>
  <si>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</si>
  <si>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</si>
  <si>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</si>
  <si>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</si>
  <si>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</si>
  <si>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</si>
  <si>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</si>
  <si>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</si>
  <si>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</si>
  <si>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</si>
  <si>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</si>
  <si>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</si>
  <si>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</si>
  <si>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</si>
  <si>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</si>
  <si>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</si>
  <si>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</si>
  <si>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</si>
  <si>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</si>
  <si>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</si>
  <si>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</si>
  <si>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</si>
  <si>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Marcelo Darras</t>
  </si>
  <si>
    <t>Jesus Delgado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</si>
</sst>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F7" sqref="F7"/>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27" t="s">
        <v>76</v>
      </c>
      <c r="C4" s="5">
        <f>EVALUACION1!$C$21</f>
        <v>7</v>
      </c>
      <c r="D4" s="5">
        <f>$C$32</f>
        <v>7</v>
      </c>
      <c r="E4" s="6">
        <f>C4*C$2+D4*D$2</f>
        <v>7</v>
      </c>
      <c r="G4" s="1"/>
    </row>
    <row r="5" spans="1:11" x14ac:dyDescent="0.25">
      <c r="A5" s="4">
        <v>2</v>
      </c>
      <c r="B5" s="27" t="s">
        <v>77</v>
      </c>
      <c r="C5" s="5">
        <f>EVALUACION1!$C$21</f>
        <v>7</v>
      </c>
      <c r="D5" s="5">
        <f>C44</f>
        <v>7</v>
      </c>
      <c r="E5" s="6">
        <f t="shared" ref="E5:E6" si="0">C5*C$2+D5*D$2</f>
        <v>7</v>
      </c>
      <c r="G5" s="1"/>
    </row>
    <row r="6" spans="1:11" x14ac:dyDescent="0.25">
      <c r="A6" s="4">
        <v>3</v>
      </c>
      <c r="B6" s="27"/>
      <c r="C6" s="5"/>
      <c r="D6" s="5"/>
      <c r="E6" s="6"/>
      <c r="G6" s="1"/>
    </row>
    <row r="11" spans="1:11" ht="18.75" outlineLevel="1" x14ac:dyDescent="0.25">
      <c r="A11" s="69" t="s">
        <v>58</v>
      </c>
      <c r="B11" s="14"/>
      <c r="C11" s="61" t="s">
        <v>60</v>
      </c>
      <c r="D11" s="62" t="s">
        <v>61</v>
      </c>
      <c r="E11" s="63"/>
      <c r="F11" s="63"/>
      <c r="G11" s="63"/>
      <c r="H11" s="63"/>
      <c r="I11" s="63"/>
      <c r="J11" s="63"/>
      <c r="K11" s="64"/>
    </row>
    <row r="12" spans="1:11" outlineLevel="1" x14ac:dyDescent="0.25">
      <c r="A12" s="67"/>
      <c r="B12" s="24" t="s">
        <v>62</v>
      </c>
      <c r="C12" s="54"/>
      <c r="D12" s="62" t="s">
        <v>63</v>
      </c>
      <c r="E12" s="64"/>
      <c r="F12" s="62" t="s">
        <v>64</v>
      </c>
      <c r="G12" s="64"/>
      <c r="H12" s="65" t="s">
        <v>65</v>
      </c>
      <c r="I12" s="64"/>
      <c r="J12" s="62" t="s">
        <v>6</v>
      </c>
      <c r="K12" s="64"/>
    </row>
    <row r="13" spans="1:11" ht="24" outlineLevel="1" x14ac:dyDescent="0.25">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
      <c r="A20" s="67"/>
      <c r="B20" s="29" t="s">
        <v>66</v>
      </c>
      <c r="C20" s="33">
        <f>E20+G20+I20+K20</f>
        <v>75</v>
      </c>
      <c r="D20" s="19"/>
      <c r="E20" s="19">
        <f>SUM(E13:E19)</f>
        <v>75</v>
      </c>
      <c r="F20" s="19"/>
      <c r="G20" s="19">
        <f>SUM(G13:G19)</f>
        <v>0</v>
      </c>
      <c r="H20" s="19"/>
      <c r="I20" s="19">
        <f>SUM(I13:I19)</f>
        <v>0</v>
      </c>
      <c r="J20" s="19"/>
      <c r="K20" s="19">
        <f>SUM(K13:K19)</f>
        <v>0</v>
      </c>
    </row>
    <row r="21" spans="1:11" ht="15.75" customHeight="1" outlineLevel="1" x14ac:dyDescent="0.3">
      <c r="A21" s="54"/>
      <c r="B21" s="32" t="s">
        <v>67</v>
      </c>
      <c r="C21" s="20">
        <f>VLOOKUP(C20,ESCALA_IEP!A1:B152,2,FALSE)</f>
        <v>7</v>
      </c>
    </row>
    <row r="22" spans="1:11" ht="15.75" customHeight="1" x14ac:dyDescent="0.25"/>
    <row r="23" spans="1:11" ht="15.75" customHeight="1" x14ac:dyDescent="0.25"/>
    <row r="24" spans="1:11" ht="15.75" customHeight="1" x14ac:dyDescent="0.25">
      <c r="A24" s="66" t="s">
        <v>59</v>
      </c>
      <c r="B24" s="53" t="s">
        <v>68</v>
      </c>
      <c r="C24" s="55" t="str">
        <f>$B$4</f>
        <v>Marcelo Darras</v>
      </c>
      <c r="D24" s="56"/>
      <c r="E24" s="56"/>
      <c r="F24" s="56"/>
      <c r="G24" s="56"/>
      <c r="H24" s="56"/>
      <c r="I24" s="56"/>
      <c r="J24" s="56"/>
      <c r="K24" s="57"/>
    </row>
    <row r="25" spans="1:11" ht="15.75" customHeight="1" x14ac:dyDescent="0.25">
      <c r="A25" s="67"/>
      <c r="B25" s="54"/>
      <c r="C25" s="58"/>
      <c r="D25" s="59"/>
      <c r="E25" s="59"/>
      <c r="F25" s="59"/>
      <c r="G25" s="59"/>
      <c r="H25" s="59"/>
      <c r="I25" s="59"/>
      <c r="J25" s="59"/>
      <c r="K25" s="60"/>
    </row>
    <row r="26" spans="1:11" ht="15.75" customHeight="1" x14ac:dyDescent="0.25">
      <c r="A26" s="67"/>
      <c r="B26" s="14" t="s">
        <v>69</v>
      </c>
      <c r="C26" s="61" t="s">
        <v>60</v>
      </c>
      <c r="D26" s="62" t="s">
        <v>61</v>
      </c>
      <c r="E26" s="63"/>
      <c r="F26" s="63"/>
      <c r="G26" s="63"/>
      <c r="H26" s="63"/>
      <c r="I26" s="63"/>
      <c r="J26" s="63"/>
      <c r="K26" s="64"/>
    </row>
    <row r="27" spans="1:11" ht="15.75" customHeight="1" x14ac:dyDescent="0.25">
      <c r="A27" s="67"/>
      <c r="B27" s="15" t="s">
        <v>62</v>
      </c>
      <c r="C27" s="54"/>
      <c r="D27" s="62" t="s">
        <v>63</v>
      </c>
      <c r="E27" s="64"/>
      <c r="F27" s="62" t="s">
        <v>64</v>
      </c>
      <c r="G27" s="64"/>
      <c r="H27" s="65" t="s">
        <v>65</v>
      </c>
      <c r="I27" s="64"/>
      <c r="J27" s="62" t="s">
        <v>6</v>
      </c>
      <c r="K27" s="64"/>
    </row>
    <row r="28" spans="1:11" x14ac:dyDescent="0.25">
      <c r="A28" s="67"/>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7"/>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25">
      <c r="A30" s="67"/>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7"/>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4"/>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6" t="s">
        <v>59</v>
      </c>
      <c r="B36" s="53" t="s">
        <v>68</v>
      </c>
      <c r="C36" s="55" t="str">
        <f>B5</f>
        <v>Jesus Delgado</v>
      </c>
      <c r="D36" s="56"/>
      <c r="E36" s="56"/>
      <c r="F36" s="56"/>
      <c r="G36" s="56"/>
      <c r="H36" s="56"/>
      <c r="I36" s="56"/>
      <c r="J36" s="56"/>
      <c r="K36" s="57"/>
    </row>
    <row r="37" spans="1:11" ht="15.75" customHeight="1" x14ac:dyDescent="0.25">
      <c r="A37" s="67"/>
      <c r="B37" s="54"/>
      <c r="C37" s="58"/>
      <c r="D37" s="59"/>
      <c r="E37" s="59"/>
      <c r="F37" s="59"/>
      <c r="G37" s="59"/>
      <c r="H37" s="59"/>
      <c r="I37" s="59"/>
      <c r="J37" s="59"/>
      <c r="K37" s="60"/>
    </row>
    <row r="38" spans="1:11" ht="15.75" customHeight="1" x14ac:dyDescent="0.25">
      <c r="A38" s="67"/>
      <c r="B38" s="14" t="s">
        <v>69</v>
      </c>
      <c r="C38" s="61" t="s">
        <v>60</v>
      </c>
      <c r="D38" s="62" t="s">
        <v>61</v>
      </c>
      <c r="E38" s="63"/>
      <c r="F38" s="63"/>
      <c r="G38" s="63"/>
      <c r="H38" s="63"/>
      <c r="I38" s="63"/>
      <c r="J38" s="63"/>
      <c r="K38" s="64"/>
    </row>
    <row r="39" spans="1:11" ht="15.75" customHeight="1" x14ac:dyDescent="0.25">
      <c r="A39" s="67"/>
      <c r="B39" s="15" t="s">
        <v>62</v>
      </c>
      <c r="C39" s="54"/>
      <c r="D39" s="62" t="s">
        <v>63</v>
      </c>
      <c r="E39" s="64"/>
      <c r="F39" s="62" t="s">
        <v>64</v>
      </c>
      <c r="G39" s="64"/>
      <c r="H39" s="65" t="s">
        <v>65</v>
      </c>
      <c r="I39" s="64"/>
      <c r="J39" s="62" t="s">
        <v>6</v>
      </c>
      <c r="K39" s="64"/>
    </row>
    <row r="40" spans="1:11" ht="15.75" customHeight="1" x14ac:dyDescent="0.25">
      <c r="A40" s="67"/>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7"/>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5">
      <c r="A42" s="67"/>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7"/>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4"/>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6" t="s">
        <v>59</v>
      </c>
      <c r="B47" s="53" t="s">
        <v>68</v>
      </c>
      <c r="C47" s="55">
        <f>B6</f>
        <v>0</v>
      </c>
      <c r="D47" s="56"/>
      <c r="E47" s="56"/>
      <c r="F47" s="56"/>
      <c r="G47" s="56"/>
      <c r="H47" s="56"/>
      <c r="I47" s="56"/>
      <c r="J47" s="56"/>
      <c r="K47" s="57"/>
    </row>
    <row r="48" spans="1:11" ht="15.75" customHeight="1" x14ac:dyDescent="0.25">
      <c r="A48" s="67"/>
      <c r="B48" s="54"/>
      <c r="C48" s="58"/>
      <c r="D48" s="59"/>
      <c r="E48" s="59"/>
      <c r="F48" s="59"/>
      <c r="G48" s="59"/>
      <c r="H48" s="59"/>
      <c r="I48" s="59"/>
      <c r="J48" s="59"/>
      <c r="K48" s="60"/>
    </row>
    <row r="49" spans="1:11" ht="15.75" customHeight="1" x14ac:dyDescent="0.25">
      <c r="A49" s="67"/>
      <c r="B49" s="14" t="s">
        <v>69</v>
      </c>
      <c r="C49" s="61" t="s">
        <v>60</v>
      </c>
      <c r="D49" s="62" t="s">
        <v>61</v>
      </c>
      <c r="E49" s="63"/>
      <c r="F49" s="63"/>
      <c r="G49" s="63"/>
      <c r="H49" s="63"/>
      <c r="I49" s="63"/>
      <c r="J49" s="63"/>
      <c r="K49" s="64"/>
    </row>
    <row r="50" spans="1:11" ht="15.75" customHeight="1" x14ac:dyDescent="0.25">
      <c r="A50" s="67"/>
      <c r="B50" s="15" t="s">
        <v>62</v>
      </c>
      <c r="C50" s="54"/>
      <c r="D50" s="62" t="s">
        <v>63</v>
      </c>
      <c r="E50" s="64"/>
      <c r="F50" s="62" t="s">
        <v>64</v>
      </c>
      <c r="G50" s="64"/>
      <c r="H50" s="65" t="s">
        <v>65</v>
      </c>
      <c r="I50" s="64"/>
      <c r="J50" s="62" t="s">
        <v>6</v>
      </c>
      <c r="K50" s="64"/>
    </row>
    <row r="51" spans="1:11" ht="15.75" customHeight="1" x14ac:dyDescent="0.25">
      <c r="A51" s="67"/>
      <c r="B51" s="30" t="str">
        <f>RUBRICA!A6</f>
        <v>3. Relaciona el Proyecto APT con sus intereses profesionales. *</v>
      </c>
      <c r="C51" s="28" t="s">
        <v>63</v>
      </c>
      <c r="D51" s="16"/>
      <c r="E51" s="16" t="str">
        <f>IF(D51="X",100*0.05,"")</f>
        <v/>
      </c>
      <c r="F51" s="16" t="str">
        <f t="shared" ref="F51:F53" si="17">IF($C51=L,"X","")</f>
        <v/>
      </c>
      <c r="G51" s="16" t="str">
        <f>IF(F51="X",60*0.05,"")</f>
        <v/>
      </c>
      <c r="H51" s="16" t="str">
        <f t="shared" ref="H51:H53" si="18">IF($C51=ML,"X","")</f>
        <v/>
      </c>
      <c r="I51" s="16" t="str">
        <f>IF(H51="X",30*0.05,"")</f>
        <v/>
      </c>
      <c r="J51" s="16" t="str">
        <f t="shared" ref="J51:J53" si="19">IF($C51=NL,"X","")</f>
        <v/>
      </c>
      <c r="K51" s="16" t="str">
        <f t="shared" ref="K51:K53" si="20">IF($J51="X",0,"")</f>
        <v/>
      </c>
    </row>
    <row r="52" spans="1:11" ht="25.9" customHeight="1" x14ac:dyDescent="0.25">
      <c r="A52" s="67"/>
      <c r="B52" s="30" t="str">
        <f>RUBRICA!A11</f>
        <v>8. Expone el tema utilizando un lenguaje técnico disciplinar al presentar la propuesta y responde evidenciando un manejo de la información. *</v>
      </c>
      <c r="C52" s="28" t="s">
        <v>63</v>
      </c>
      <c r="D52" s="16"/>
      <c r="E52" s="16" t="str">
        <f>IF(D52="X",100*0.1,"")</f>
        <v/>
      </c>
      <c r="F52" s="16" t="str">
        <f t="shared" si="17"/>
        <v/>
      </c>
      <c r="G52" s="16" t="str">
        <f>IF(F52="X",60*0.1,"")</f>
        <v/>
      </c>
      <c r="H52" s="16" t="str">
        <f t="shared" si="18"/>
        <v/>
      </c>
      <c r="I52" s="16" t="str">
        <f>IF(H52="X",30*0.1,"")</f>
        <v/>
      </c>
      <c r="J52" s="16" t="str">
        <f t="shared" si="19"/>
        <v/>
      </c>
      <c r="K52" s="16" t="str">
        <f t="shared" si="20"/>
        <v/>
      </c>
    </row>
    <row r="53" spans="1:11" x14ac:dyDescent="0.25">
      <c r="A53" s="67"/>
      <c r="B53" s="30" t="str">
        <f>RUBRICA!A13</f>
        <v>10. Colaboración y trabajo en equipo *</v>
      </c>
      <c r="C53" s="28" t="s">
        <v>63</v>
      </c>
      <c r="D53" s="16"/>
      <c r="E53" s="16" t="str">
        <f>IF(D53="X",100*0.1,"")</f>
        <v/>
      </c>
      <c r="F53" s="16" t="str">
        <f t="shared" si="17"/>
        <v/>
      </c>
      <c r="G53" s="16" t="str">
        <f>IF(F53="X",60*0.1,"")</f>
        <v/>
      </c>
      <c r="H53" s="16" t="str">
        <f t="shared" si="18"/>
        <v/>
      </c>
      <c r="I53" s="16" t="str">
        <f>IF(H53="X",30*0.1,"")</f>
        <v/>
      </c>
      <c r="J53" s="16" t="str">
        <f t="shared" si="19"/>
        <v/>
      </c>
      <c r="K53" s="16" t="str">
        <f t="shared" si="20"/>
        <v/>
      </c>
    </row>
    <row r="54" spans="1:11" ht="15.75" customHeight="1" x14ac:dyDescent="0.3">
      <c r="A54" s="67"/>
      <c r="B54" s="21" t="s">
        <v>70</v>
      </c>
      <c r="C54" s="18">
        <f>E54+G54+I54+K54</f>
        <v>0</v>
      </c>
      <c r="D54" s="19"/>
      <c r="E54" s="19">
        <f>SUM(E51:E53)</f>
        <v>0</v>
      </c>
      <c r="F54" s="19"/>
      <c r="G54" s="19">
        <f>SUM(G51:G53)</f>
        <v>0</v>
      </c>
      <c r="H54" s="19"/>
      <c r="I54" s="19">
        <f>SUM(I51:I53)</f>
        <v>0</v>
      </c>
      <c r="J54" s="19"/>
      <c r="K54" s="19">
        <f>SUM(K52:K53)</f>
        <v>0</v>
      </c>
    </row>
    <row r="55" spans="1:11" ht="15.75" customHeight="1" x14ac:dyDescent="0.3">
      <c r="A55" s="54"/>
      <c r="B55" s="17" t="s">
        <v>67</v>
      </c>
      <c r="C55" s="20">
        <f>VLOOKUP(C54,ESCALA_TRAB_EQUIP!A1:B52,2,FALSE)</f>
        <v>1</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JORGE CASTRO</cp:lastModifiedBy>
  <cp:revision/>
  <dcterms:created xsi:type="dcterms:W3CDTF">2023-08-07T04:08:01Z</dcterms:created>
  <dcterms:modified xsi:type="dcterms:W3CDTF">2025-11-26T21:32:31Z</dcterms:modified>
  <cp:category/>
  <cp:contentStatus/>
</cp:coreProperties>
</file>