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<sst xmlns="http://schemas.openxmlformats.org/spreadsheetml/2006/main" count="185" uniqueCount="120">
  <si>
    <t>Sprint 1: Autenticación y base del sistema</t>
  </si>
  <si>
    <t>ID</t>
  </si>
  <si>
    <t>Nombre</t>
  </si>
  <si>
    <t>Tareas</t>
  </si>
  <si>
    <t>RF-1</t>
  </si>
  <si>
    <t>Inicio de sesión</t>
  </si>
  <si>
    <t xml:space="preserve">- Diseñar pantalla de login 
- Validar RUT y contraseña 
- Conectar con BD de usuarios
</t>
  </si>
  <si>
    <t>RF-2</t>
  </si>
  <si>
    <t>Validación de Rut</t>
  </si>
  <si>
    <t>- Implementar validación de formato RUT en frontend 
- Validación en backend</t>
  </si>
  <si>
    <t>RF-3</t>
  </si>
  <si>
    <t>Registro de usuario</t>
  </si>
  <si>
    <t>- Diseñar pantalla de registro
- Validar datos obligatorios
- Guardar en BD</t>
  </si>
  <si>
    <t>RF-4</t>
  </si>
  <si>
    <t>Validación de contraseña</t>
  </si>
  <si>
    <t>- Implementar regla de mínimo 8 caracteres
- Mostrar mensajes de error claros</t>
  </si>
  <si>
    <t>RF-5</t>
  </si>
  <si>
    <t>Recuperación de contraseña</t>
  </si>
  <si>
    <t>- Diseñar pantalla de recuperación
- Validar correo ingresado
- Conectar con BD</t>
  </si>
  <si>
    <t>RF-6</t>
  </si>
  <si>
    <t>Código de recuperación</t>
  </si>
  <si>
    <t>- Implementar envío de código por correo
- Validar código antes de permitir cambio</t>
  </si>
  <si>
    <t>Sprint 2: Gestión de pedidos</t>
  </si>
  <si>
    <t>RF-10</t>
  </si>
  <si>
    <t>Registro de pedidos</t>
  </si>
  <si>
    <t>- Diseñar formulario de pedido
- Guardar en BD centralizada</t>
  </si>
  <si>
    <t>RF-11</t>
  </si>
  <si>
    <t>Guardado de pedidos</t>
  </si>
  <si>
    <t>- Implementar campos: dirección, productos, fecha de entrega, correo cliente</t>
  </si>
  <si>
    <t>RF-12</t>
  </si>
  <si>
    <t>Edición de pedido</t>
  </si>
  <si>
    <t>- Diseñar pantalla de edición
- Permitir modificar datos registrados</t>
  </si>
  <si>
    <t>RF-13</t>
  </si>
  <si>
    <t>Eliminación de pedido</t>
  </si>
  <si>
    <t>- Implementar opción de eliminar pedido
- Confirmar antes de borrar</t>
  </si>
  <si>
    <t>RF-14</t>
  </si>
  <si>
    <t>Búsqueda de pedidos</t>
  </si>
  <si>
    <t>- Crear buscador por cliente/ID
- Mostrar resultados filtrados</t>
  </si>
  <si>
    <t>RF-15</t>
  </si>
  <si>
    <t>Registro de clientes</t>
  </si>
  <si>
    <t>RF-16</t>
  </si>
  <si>
    <t>Guardado de clientes</t>
  </si>
  <si>
    <t>- Implementar campos de ID, Nombre, RUT, dirección y razón social</t>
  </si>
  <si>
    <t>RF-17</t>
  </si>
  <si>
    <t>Edición de clientes</t>
  </si>
  <si>
    <t>RF-18</t>
  </si>
  <si>
    <t>Eliminación de clientes</t>
  </si>
  <si>
    <t>- Implementar opción de eliminar cliente
- Confirmar antes de borrar</t>
  </si>
  <si>
    <t>RF-19</t>
  </si>
  <si>
    <t>Edición de stock de productos</t>
  </si>
  <si>
    <t>RF-20</t>
  </si>
  <si>
    <t>Edición de precios de productos</t>
  </si>
  <si>
    <t>Sprint 3: Facturación</t>
  </si>
  <si>
    <t>RF-21</t>
  </si>
  <si>
    <t>Registro de pesos</t>
  </si>
  <si>
    <t>- Añadir campo de pesos de cajas
- Calcular totales por producto</t>
  </si>
  <si>
    <t>RF-22</t>
  </si>
  <si>
    <t>Facturación de pedido</t>
  </si>
  <si>
    <t>- Botón de facturar pedido
- Confirmación antes de ejecutar
- Guardar estado facturado en BD</t>
  </si>
  <si>
    <t>RF-23</t>
  </si>
  <si>
    <t>Facturación de pedido masiva</t>
  </si>
  <si>
    <t>- Botón de facturar pedido masiva
- Permita seleccionar varios pedidos al mismo tiempo
- Confirmación antes de ejecutar
- Guardar estado facturado en BD</t>
  </si>
  <si>
    <t>RF-24</t>
  </si>
  <si>
    <t>Facturación por PDF</t>
  </si>
  <si>
    <t>- Validar generación de PDF
- Validar lectura de PDF en dispositivo móvil</t>
  </si>
  <si>
    <t>RF-25</t>
  </si>
  <si>
    <t>Datos de factura</t>
  </si>
  <si>
    <t>- Mostrar datos de factura y conductor asignado</t>
  </si>
  <si>
    <t>RF-26</t>
  </si>
  <si>
    <t>Confirmación de facturación</t>
  </si>
  <si>
    <t>- Mostrar mensaje de éxito al facturar</t>
  </si>
  <si>
    <t>Sprint 4: Dashboards y reportes</t>
  </si>
  <si>
    <t>RF-27</t>
  </si>
  <si>
    <t>Reporte diario</t>
  </si>
  <si>
    <t>- Generar reporte automático de ventas
- Guardar datos diarios en BD</t>
  </si>
  <si>
    <t>RF-28</t>
  </si>
  <si>
    <t>Dashboard de acceso rápido</t>
  </si>
  <si>
    <t>- Implementar gráficos de pedidos (facturados, ventas, etc.)</t>
  </si>
  <si>
    <t>RF-29</t>
  </si>
  <si>
    <t>Filtro de reportes</t>
  </si>
  <si>
    <t>- Agregar filtro por fecha, cliente, producto en dashboards</t>
  </si>
  <si>
    <t>RF-30</t>
  </si>
  <si>
    <t>Actualización de dashboards</t>
  </si>
  <si>
    <t>- Sincronizar estadísticas en tiempo real o periódicamente</t>
  </si>
  <si>
    <t>RNF-6</t>
  </si>
  <si>
    <t>Notificaciones push</t>
  </si>
  <si>
    <t>- Configurar push para pedidos, facturación y reportes</t>
  </si>
  <si>
    <t>RF-7</t>
  </si>
  <si>
    <t>Modificación de datos de la cuenta</t>
  </si>
  <si>
    <t>- Diseñar pantalla de perfil
- Permitir edición de nombre, correo, etc.
- Guardar cambios en BD</t>
  </si>
  <si>
    <t>RF-8</t>
  </si>
  <si>
    <t>Cambio de contraseña</t>
  </si>
  <si>
    <t>- Implementar opción en configuración
- Validar contraseña anterior y nueva
- Actualizar en BD de forma segura</t>
  </si>
  <si>
    <t>RF-9</t>
  </si>
  <si>
    <t>Gestion de permisos de usuarios registrados</t>
  </si>
  <si>
    <t>- Implementar opción
- Permita seleccionar los usuarios a otorgar permisos
- Validar permisos otorgados</t>
  </si>
  <si>
    <t>Historia de Usuario</t>
  </si>
  <si>
    <t>Estimación</t>
  </si>
  <si>
    <t>Prioridad</t>
  </si>
  <si>
    <t>Inicio de Sesión</t>
  </si>
  <si>
    <t>Alta</t>
  </si>
  <si>
    <t xml:space="preserve">RF-2 </t>
  </si>
  <si>
    <t>Validación de RUT</t>
  </si>
  <si>
    <t>Validación de Contraseña</t>
  </si>
  <si>
    <t>Recuperación de Contraseña</t>
  </si>
  <si>
    <t>Media</t>
  </si>
  <si>
    <t>Edición de pedidos</t>
  </si>
  <si>
    <t>Búsqueda de pedido</t>
  </si>
  <si>
    <t>Baja</t>
  </si>
  <si>
    <t>Facturación de pedidos</t>
  </si>
  <si>
    <t>Integración con Nubox</t>
  </si>
  <si>
    <t>Datos de Factura</t>
  </si>
  <si>
    <t>Exportación Excel</t>
  </si>
  <si>
    <t>Altta</t>
  </si>
  <si>
    <t>Almacenamiento de reportes</t>
  </si>
  <si>
    <t>Envío de reportes</t>
  </si>
  <si>
    <t>Notificación de reportes</t>
  </si>
  <si>
    <t>Dashboards de acceso rapido</t>
  </si>
  <si>
    <t>RNF-7</t>
  </si>
  <si>
    <t>RNF-8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</si>
</sst>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Deltarune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0" fillId="4" fontId="1" numFmtId="0" xfId="0" applyAlignment="1" applyFill="1" applyFont="1">
      <alignment horizontal="center" shrinkToFit="0" vertical="bottom" wrapText="1"/>
    </xf>
    <xf borderId="0" fillId="4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5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5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5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/>
    </xf>
    <xf borderId="1" fillId="6" fontId="4" numFmtId="0" xfId="0" applyAlignment="1" applyBorder="1" applyFill="1" applyFont="1">
      <alignment horizontal="center" shrinkToFit="0" wrapText="1"/>
    </xf>
    <xf borderId="1" fillId="7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7" fontId="4" numFmtId="0" xfId="0" applyAlignment="1" applyFont="1">
      <alignment horizontal="center" shrinkToFit="0" wrapText="1"/>
    </xf>
    <xf borderId="1" fillId="7" fontId="4" numFmtId="0" xfId="0" applyAlignment="1" applyBorder="1" applyFont="1">
      <alignment horizontal="center" readingOrder="0" shrinkToFit="0" vertical="center" wrapText="1"/>
    </xf>
    <xf borderId="2" fillId="7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43.88"/>
  </cols>
  <sheetData>
    <row r="1">
      <c r="A1" s="1" t="s">
        <v>0</v>
      </c>
      <c r="D1" s="2"/>
    </row>
    <row r="2">
      <c r="A2" s="3" t="s">
        <v>1</v>
      </c>
      <c r="B2" s="4" t="s">
        <v>2</v>
      </c>
      <c r="C2" s="5" t="s">
        <v>3</v>
      </c>
      <c r="D2" s="6"/>
    </row>
    <row r="3">
      <c r="A3" s="7" t="s">
        <v>4</v>
      </c>
      <c r="B3" s="8" t="s">
        <v>5</v>
      </c>
      <c r="C3" s="9" t="s">
        <v>6</v>
      </c>
    </row>
    <row r="4">
      <c r="A4" s="7" t="s">
        <v>7</v>
      </c>
      <c r="B4" s="8" t="s">
        <v>8</v>
      </c>
      <c r="C4" s="9" t="s">
        <v>9</v>
      </c>
    </row>
    <row r="5">
      <c r="A5" s="7" t="s">
        <v>10</v>
      </c>
      <c r="B5" s="8" t="s">
        <v>11</v>
      </c>
      <c r="C5" s="9" t="s">
        <v>12</v>
      </c>
    </row>
    <row r="6">
      <c r="A6" s="7" t="s">
        <v>13</v>
      </c>
      <c r="B6" s="8" t="s">
        <v>14</v>
      </c>
      <c r="C6" s="9" t="s">
        <v>15</v>
      </c>
    </row>
    <row r="7">
      <c r="A7" s="10" t="s">
        <v>16</v>
      </c>
      <c r="B7" s="11" t="s">
        <v>17</v>
      </c>
      <c r="C7" s="9" t="s">
        <v>18</v>
      </c>
    </row>
    <row r="8">
      <c r="A8" s="10" t="s">
        <v>19</v>
      </c>
      <c r="B8" s="11" t="s">
        <v>20</v>
      </c>
      <c r="C8" s="12" t="s">
        <v>21</v>
      </c>
    </row>
    <row r="9">
      <c r="A9" s="13" t="s">
        <v>22</v>
      </c>
    </row>
    <row r="10">
      <c r="A10" s="7" t="s">
        <v>23</v>
      </c>
      <c r="B10" s="14" t="s">
        <v>24</v>
      </c>
      <c r="C10" s="9" t="s">
        <v>25</v>
      </c>
    </row>
    <row r="11">
      <c r="A11" s="7" t="s">
        <v>26</v>
      </c>
      <c r="B11" s="14" t="s">
        <v>27</v>
      </c>
      <c r="C11" s="12" t="s">
        <v>28</v>
      </c>
    </row>
    <row r="12">
      <c r="A12" s="7" t="s">
        <v>29</v>
      </c>
      <c r="B12" s="15" t="s">
        <v>30</v>
      </c>
      <c r="C12" s="9" t="s">
        <v>31</v>
      </c>
    </row>
    <row r="13">
      <c r="A13" s="7" t="s">
        <v>32</v>
      </c>
      <c r="B13" s="15" t="s">
        <v>33</v>
      </c>
      <c r="C13" s="9" t="s">
        <v>34</v>
      </c>
    </row>
    <row r="14">
      <c r="A14" s="7" t="s">
        <v>35</v>
      </c>
      <c r="B14" s="15" t="s">
        <v>36</v>
      </c>
      <c r="C14" s="9" t="s">
        <v>37</v>
      </c>
    </row>
    <row r="15">
      <c r="A15" s="7" t="s">
        <v>38</v>
      </c>
      <c r="B15" s="16" t="s">
        <v>39</v>
      </c>
      <c r="C15" s="12" t="s">
        <v>25</v>
      </c>
    </row>
    <row r="16">
      <c r="A16" s="7" t="s">
        <v>40</v>
      </c>
      <c r="B16" s="16" t="s">
        <v>41</v>
      </c>
      <c r="C16" s="17" t="s">
        <v>42</v>
      </c>
    </row>
    <row r="17">
      <c r="A17" s="7" t="s">
        <v>43</v>
      </c>
      <c r="B17" s="16" t="s">
        <v>44</v>
      </c>
      <c r="C17" s="9" t="s">
        <v>31</v>
      </c>
    </row>
    <row r="18">
      <c r="A18" s="7" t="s">
        <v>45</v>
      </c>
      <c r="B18" s="16" t="s">
        <v>46</v>
      </c>
      <c r="C18" s="12" t="s">
        <v>47</v>
      </c>
    </row>
    <row r="19">
      <c r="A19" s="7" t="s">
        <v>48</v>
      </c>
      <c r="B19" s="16" t="s">
        <v>49</v>
      </c>
      <c r="C19" s="9" t="s">
        <v>31</v>
      </c>
    </row>
    <row r="20">
      <c r="A20" s="7" t="s">
        <v>50</v>
      </c>
      <c r="B20" s="16" t="s">
        <v>51</v>
      </c>
      <c r="C20" s="9" t="s">
        <v>31</v>
      </c>
    </row>
    <row r="21">
      <c r="A21" s="1" t="s">
        <v>52</v>
      </c>
    </row>
    <row r="22">
      <c r="A22" s="18" t="s">
        <v>53</v>
      </c>
      <c r="B22" s="15" t="s">
        <v>54</v>
      </c>
      <c r="C22" s="9" t="s">
        <v>55</v>
      </c>
    </row>
    <row r="23">
      <c r="A23" s="18" t="s">
        <v>56</v>
      </c>
      <c r="B23" s="15" t="s">
        <v>57</v>
      </c>
      <c r="C23" s="9" t="s">
        <v>58</v>
      </c>
    </row>
    <row r="24">
      <c r="A24" s="18" t="s">
        <v>59</v>
      </c>
      <c r="B24" s="19" t="s">
        <v>60</v>
      </c>
      <c r="C24" s="12" t="s">
        <v>61</v>
      </c>
    </row>
    <row r="25">
      <c r="A25" s="18" t="s">
        <v>62</v>
      </c>
      <c r="B25" s="19" t="s">
        <v>63</v>
      </c>
      <c r="C25" s="12" t="s">
        <v>64</v>
      </c>
    </row>
    <row r="26">
      <c r="A26" s="18" t="s">
        <v>65</v>
      </c>
      <c r="B26" s="14" t="s">
        <v>66</v>
      </c>
      <c r="C26" s="9" t="s">
        <v>67</v>
      </c>
    </row>
    <row r="27">
      <c r="A27" s="18" t="s">
        <v>68</v>
      </c>
      <c r="B27" s="15" t="s">
        <v>69</v>
      </c>
      <c r="C27" s="9" t="s">
        <v>70</v>
      </c>
    </row>
    <row r="28">
      <c r="A28" s="1" t="s">
        <v>71</v>
      </c>
    </row>
    <row r="29">
      <c r="A29" s="7" t="s">
        <v>72</v>
      </c>
      <c r="B29" s="20" t="s">
        <v>73</v>
      </c>
      <c r="C29" s="9" t="s">
        <v>74</v>
      </c>
    </row>
    <row r="30">
      <c r="A30" s="7" t="s">
        <v>75</v>
      </c>
      <c r="B30" s="8" t="s">
        <v>76</v>
      </c>
      <c r="C30" s="9" t="s">
        <v>77</v>
      </c>
    </row>
    <row r="31">
      <c r="A31" s="7" t="s">
        <v>78</v>
      </c>
      <c r="B31" s="20" t="s">
        <v>79</v>
      </c>
      <c r="C31" s="9" t="s">
        <v>80</v>
      </c>
    </row>
    <row r="32">
      <c r="A32" s="7" t="s">
        <v>81</v>
      </c>
      <c r="B32" s="8" t="s">
        <v>82</v>
      </c>
      <c r="C32" s="9" t="s">
        <v>83</v>
      </c>
    </row>
    <row r="33">
      <c r="A33" s="18" t="s">
        <v>84</v>
      </c>
      <c r="B33" s="20" t="s">
        <v>85</v>
      </c>
      <c r="C33" s="9" t="s">
        <v>86</v>
      </c>
    </row>
    <row r="34">
      <c r="A34" s="21" t="s">
        <v>87</v>
      </c>
      <c r="B34" s="22" t="s">
        <v>88</v>
      </c>
      <c r="C34" s="9" t="s">
        <v>89</v>
      </c>
    </row>
    <row r="35">
      <c r="A35" s="21" t="s">
        <v>90</v>
      </c>
      <c r="B35" s="22" t="s">
        <v>91</v>
      </c>
      <c r="C35" s="9" t="s">
        <v>92</v>
      </c>
    </row>
    <row r="36">
      <c r="A36" s="23" t="s">
        <v>93</v>
      </c>
      <c r="B36" s="24" t="s">
        <v>94</v>
      </c>
      <c r="C36" s="25" t="s">
        <v>95</v>
      </c>
    </row>
  </sheetData>
  <mergeCells count="4">
    <mergeCell ref="A1:C1"/>
    <mergeCell ref="A9:C9"/>
    <mergeCell ref="A21:C21"/>
    <mergeCell ref="A28:C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</v>
      </c>
      <c r="B1" s="26" t="s">
        <v>96</v>
      </c>
      <c r="C1" s="26" t="s">
        <v>97</v>
      </c>
      <c r="D1" s="26" t="s">
        <v>98</v>
      </c>
    </row>
    <row r="2">
      <c r="A2" s="27" t="s">
        <v>4</v>
      </c>
      <c r="B2" s="27" t="s">
        <v>99</v>
      </c>
      <c r="C2" s="27">
        <f>6+8+6</f>
        <v>20</v>
      </c>
      <c r="D2" s="27" t="s">
        <v>100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7" t="s">
        <v>101</v>
      </c>
      <c r="B3" s="27" t="s">
        <v>102</v>
      </c>
      <c r="C3" s="27">
        <f>4+4
</f>
        <v>8</v>
      </c>
      <c r="D3" s="27" t="s">
        <v>100</v>
      </c>
      <c r="E3" s="28"/>
      <c r="F3" s="28"/>
      <c r="G3" s="29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7" t="s">
        <v>10</v>
      </c>
      <c r="B4" s="27" t="s">
        <v>11</v>
      </c>
      <c r="C4" s="27">
        <f>8+6+4</f>
        <v>18</v>
      </c>
      <c r="D4" s="27" t="s">
        <v>100</v>
      </c>
      <c r="E4" s="28"/>
      <c r="F4" s="28"/>
      <c r="G4" s="29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7" t="s">
        <v>13</v>
      </c>
      <c r="B5" s="27" t="s">
        <v>103</v>
      </c>
      <c r="C5" s="27">
        <v>7.0</v>
      </c>
      <c r="D5" s="27" t="s">
        <v>100</v>
      </c>
      <c r="E5" s="28"/>
      <c r="F5" s="28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7" t="s">
        <v>16</v>
      </c>
      <c r="B6" s="27" t="s">
        <v>104</v>
      </c>
      <c r="C6" s="27">
        <f>5+3+4</f>
        <v>12</v>
      </c>
      <c r="D6" s="27" t="s">
        <v>105</v>
      </c>
      <c r="E6" s="28"/>
      <c r="F6" s="28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7" t="s">
        <v>19</v>
      </c>
      <c r="B7" s="27" t="s">
        <v>20</v>
      </c>
      <c r="C7" s="27">
        <f>8+5</f>
        <v>13</v>
      </c>
      <c r="D7" s="27" t="s">
        <v>105</v>
      </c>
      <c r="E7" s="28"/>
      <c r="F7" s="28"/>
      <c r="G7" s="2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7" t="s">
        <v>93</v>
      </c>
      <c r="B8" s="27" t="s">
        <v>24</v>
      </c>
      <c r="C8" s="27">
        <v>18.0</v>
      </c>
      <c r="D8" s="27" t="s">
        <v>100</v>
      </c>
      <c r="G8" s="29"/>
    </row>
    <row r="9">
      <c r="A9" s="27" t="s">
        <v>23</v>
      </c>
      <c r="B9" s="27" t="s">
        <v>27</v>
      </c>
      <c r="C9" s="27">
        <v>12.0</v>
      </c>
      <c r="D9" s="27" t="s">
        <v>100</v>
      </c>
    </row>
    <row r="10">
      <c r="A10" s="27" t="s">
        <v>26</v>
      </c>
      <c r="B10" s="27" t="s">
        <v>106</v>
      </c>
      <c r="C10" s="27">
        <v>18.0</v>
      </c>
      <c r="D10" s="27" t="s">
        <v>105</v>
      </c>
    </row>
    <row r="11">
      <c r="A11" s="27" t="s">
        <v>29</v>
      </c>
      <c r="B11" s="27" t="s">
        <v>33</v>
      </c>
      <c r="C11" s="27">
        <v>8.0</v>
      </c>
      <c r="D11" s="27" t="s">
        <v>105</v>
      </c>
    </row>
    <row r="12">
      <c r="A12" s="27" t="s">
        <v>32</v>
      </c>
      <c r="B12" s="27" t="s">
        <v>107</v>
      </c>
      <c r="C12" s="27">
        <f>8+6</f>
        <v>14</v>
      </c>
      <c r="D12" s="27" t="s">
        <v>108</v>
      </c>
    </row>
    <row r="13">
      <c r="A13" s="27" t="s">
        <v>35</v>
      </c>
      <c r="B13" s="27" t="s">
        <v>54</v>
      </c>
      <c r="C13" s="27">
        <v>11.0</v>
      </c>
      <c r="D13" s="27" t="s">
        <v>100</v>
      </c>
    </row>
    <row r="14">
      <c r="A14" s="27" t="s">
        <v>38</v>
      </c>
      <c r="B14" s="27" t="s">
        <v>109</v>
      </c>
      <c r="C14" s="27">
        <v>12.0</v>
      </c>
      <c r="D14" s="27" t="s">
        <v>100</v>
      </c>
    </row>
    <row r="15">
      <c r="A15" s="27" t="s">
        <v>40</v>
      </c>
      <c r="B15" s="27" t="s">
        <v>110</v>
      </c>
      <c r="C15" s="27">
        <f>SUM(16+8+6)</f>
        <v>30</v>
      </c>
      <c r="D15" s="27" t="s">
        <v>100</v>
      </c>
    </row>
    <row r="16">
      <c r="A16" s="27" t="s">
        <v>43</v>
      </c>
      <c r="B16" s="27" t="s">
        <v>111</v>
      </c>
      <c r="C16" s="27">
        <v>8.0</v>
      </c>
      <c r="D16" s="27" t="s">
        <v>100</v>
      </c>
    </row>
    <row r="17">
      <c r="A17" s="27" t="s">
        <v>45</v>
      </c>
      <c r="B17" s="27" t="s">
        <v>69</v>
      </c>
      <c r="C17" s="27">
        <v>3.0</v>
      </c>
      <c r="D17" s="27" t="s">
        <v>100</v>
      </c>
    </row>
    <row r="18">
      <c r="A18" s="27" t="s">
        <v>48</v>
      </c>
      <c r="B18" s="27" t="s">
        <v>73</v>
      </c>
      <c r="C18" s="30">
        <v>16.0</v>
      </c>
      <c r="D18" s="30" t="s">
        <v>100</v>
      </c>
    </row>
    <row r="19">
      <c r="A19" s="27" t="s">
        <v>50</v>
      </c>
      <c r="B19" s="27" t="s">
        <v>112</v>
      </c>
      <c r="C19" s="30">
        <v>12.0</v>
      </c>
      <c r="D19" s="27" t="s">
        <v>113</v>
      </c>
    </row>
    <row r="20">
      <c r="A20" s="27" t="s">
        <v>53</v>
      </c>
      <c r="B20" s="27" t="s">
        <v>114</v>
      </c>
      <c r="C20" s="30">
        <v>8.0</v>
      </c>
      <c r="D20" s="27" t="s">
        <v>100</v>
      </c>
    </row>
    <row r="21">
      <c r="A21" s="27" t="s">
        <v>56</v>
      </c>
      <c r="B21" s="27" t="s">
        <v>115</v>
      </c>
      <c r="C21" s="27">
        <v>10.0</v>
      </c>
      <c r="D21" s="27" t="s">
        <v>100</v>
      </c>
    </row>
    <row r="22">
      <c r="A22" s="27" t="s">
        <v>59</v>
      </c>
      <c r="B22" s="27" t="s">
        <v>116</v>
      </c>
      <c r="C22" s="27">
        <v>8.0</v>
      </c>
      <c r="D22" s="27" t="s">
        <v>100</v>
      </c>
    </row>
    <row r="23">
      <c r="A23" s="27" t="s">
        <v>62</v>
      </c>
      <c r="B23" s="27" t="s">
        <v>117</v>
      </c>
      <c r="C23" s="27">
        <v>16.0</v>
      </c>
      <c r="D23" s="27" t="s">
        <v>100</v>
      </c>
    </row>
    <row r="24">
      <c r="A24" s="27" t="s">
        <v>65</v>
      </c>
      <c r="B24" s="27" t="s">
        <v>79</v>
      </c>
      <c r="C24" s="27">
        <v>10.0</v>
      </c>
      <c r="D24" s="27" t="s">
        <v>108</v>
      </c>
    </row>
    <row r="25">
      <c r="A25" s="27" t="s">
        <v>68</v>
      </c>
      <c r="B25" s="27" t="s">
        <v>82</v>
      </c>
      <c r="C25" s="27">
        <v>12.0</v>
      </c>
      <c r="D25" s="27" t="s">
        <v>100</v>
      </c>
    </row>
    <row r="26">
      <c r="A26" s="27" t="s">
        <v>84</v>
      </c>
      <c r="B26" s="27" t="s">
        <v>85</v>
      </c>
      <c r="C26" s="27">
        <v>14.0</v>
      </c>
      <c r="D26" s="27" t="s">
        <v>105</v>
      </c>
    </row>
    <row r="27">
      <c r="A27" s="27" t="s">
        <v>118</v>
      </c>
      <c r="B27" s="27" t="s">
        <v>88</v>
      </c>
      <c r="C27" s="30">
        <v>16.0</v>
      </c>
      <c r="D27" s="31" t="s">
        <v>105</v>
      </c>
    </row>
    <row r="28">
      <c r="A28" s="27" t="s">
        <v>119</v>
      </c>
      <c r="B28" s="27" t="s">
        <v>91</v>
      </c>
      <c r="C28" s="30">
        <v>14.0</v>
      </c>
      <c r="D28" s="27" t="s">
        <v>105</v>
      </c>
    </row>
  </sheetData>
  <drawing r:id="rId1"/>
</worksheet>
</file>