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1/"/>
    </mc:Choice>
  </mc:AlternateContent>
  <xr:revisionPtr revIDLastSave="35" documentId="8_{C5CF24F8-C260-456C-B628-44D2241732B3}" xr6:coauthVersionLast="47" xr6:coauthVersionMax="47" xr10:uidLastSave="{084B978E-B15F-47AD-92BA-578F34071BDC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F71" i="1"/>
  <c r="G71" i="1" s="1"/>
  <c r="E71" i="1"/>
  <c r="J70" i="1"/>
  <c r="K70" i="1" s="1"/>
  <c r="H70" i="1"/>
  <c r="I70" i="1" s="1"/>
  <c r="F70" i="1"/>
  <c r="G70" i="1" s="1"/>
  <c r="E70" i="1"/>
  <c r="J69" i="1"/>
  <c r="K69" i="1" s="1"/>
  <c r="H69" i="1"/>
  <c r="I69" i="1" s="1"/>
  <c r="F69" i="1"/>
  <c r="G69" i="1" s="1"/>
  <c r="E69" i="1"/>
  <c r="J68" i="1"/>
  <c r="K68" i="1" s="1"/>
  <c r="H68" i="1"/>
  <c r="I68" i="1" s="1"/>
  <c r="F68" i="1"/>
  <c r="G68" i="1" s="1"/>
  <c r="E68" i="1"/>
  <c r="J67" i="1"/>
  <c r="K67" i="1" s="1"/>
  <c r="H67" i="1"/>
  <c r="I67" i="1" s="1"/>
  <c r="F67" i="1"/>
  <c r="G67" i="1" s="1"/>
  <c r="E67" i="1"/>
  <c r="J66" i="1"/>
  <c r="K66" i="1" s="1"/>
  <c r="H66" i="1"/>
  <c r="I66" i="1" s="1"/>
  <c r="F66" i="1"/>
  <c r="G66" i="1" s="1"/>
  <c r="E66" i="1"/>
  <c r="J65" i="1"/>
  <c r="K65" i="1" s="1"/>
  <c r="H65" i="1"/>
  <c r="I65" i="1" s="1"/>
  <c r="F65" i="1"/>
  <c r="G65" i="1" s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E58" i="1"/>
  <c r="J57" i="1"/>
  <c r="K57" i="1" s="1"/>
  <c r="H57" i="1"/>
  <c r="I57" i="1" s="1"/>
  <c r="F57" i="1"/>
  <c r="G57" i="1" s="1"/>
  <c r="E57" i="1"/>
  <c r="J56" i="1"/>
  <c r="K56" i="1" s="1"/>
  <c r="H56" i="1"/>
  <c r="I56" i="1" s="1"/>
  <c r="F56" i="1"/>
  <c r="G56" i="1" s="1"/>
  <c r="E56" i="1"/>
  <c r="J55" i="1"/>
  <c r="K55" i="1" s="1"/>
  <c r="H55" i="1"/>
  <c r="I55" i="1" s="1"/>
  <c r="F55" i="1"/>
  <c r="G55" i="1" s="1"/>
  <c r="E55" i="1"/>
  <c r="J54" i="1"/>
  <c r="K54" i="1" s="1"/>
  <c r="H54" i="1"/>
  <c r="I54" i="1" s="1"/>
  <c r="F54" i="1"/>
  <c r="G54" i="1" s="1"/>
  <c r="E54" i="1"/>
  <c r="J53" i="1"/>
  <c r="K53" i="1" s="1"/>
  <c r="H53" i="1"/>
  <c r="I53" i="1" s="1"/>
  <c r="F53" i="1"/>
  <c r="G53" i="1" s="1"/>
  <c r="E53" i="1"/>
  <c r="J52" i="1"/>
  <c r="K52" i="1" s="1"/>
  <c r="H52" i="1"/>
  <c r="I52" i="1" s="1"/>
  <c r="F52" i="1"/>
  <c r="G52" i="1" s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J44" i="1"/>
  <c r="K44" i="1" s="1"/>
  <c r="H44" i="1"/>
  <c r="I44" i="1" s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F41" i="1"/>
  <c r="G41" i="1" s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F32" i="1"/>
  <c r="G32" i="1" s="1"/>
  <c r="E32" i="1"/>
  <c r="J31" i="1"/>
  <c r="K31" i="1" s="1"/>
  <c r="H31" i="1"/>
  <c r="I31" i="1" s="1"/>
  <c r="F31" i="1"/>
  <c r="G31" i="1" s="1"/>
  <c r="E31" i="1"/>
  <c r="J30" i="1"/>
  <c r="K30" i="1" s="1"/>
  <c r="H30" i="1"/>
  <c r="I30" i="1" s="1"/>
  <c r="F30" i="1"/>
  <c r="G30" i="1" s="1"/>
  <c r="E30" i="1"/>
  <c r="J29" i="1"/>
  <c r="K29" i="1" s="1"/>
  <c r="H29" i="1"/>
  <c r="I29" i="1" s="1"/>
  <c r="F29" i="1"/>
  <c r="G29" i="1" s="1"/>
  <c r="E29" i="1"/>
  <c r="J28" i="1"/>
  <c r="K28" i="1" s="1"/>
  <c r="H28" i="1"/>
  <c r="I28" i="1" s="1"/>
  <c r="F28" i="1"/>
  <c r="G28" i="1" s="1"/>
  <c r="E28" i="1"/>
  <c r="J27" i="1"/>
  <c r="K27" i="1" s="1"/>
  <c r="H27" i="1"/>
  <c r="I27" i="1" s="1"/>
  <c r="F27" i="1"/>
  <c r="G27" i="1" s="1"/>
  <c r="E27" i="1"/>
  <c r="J26" i="1"/>
  <c r="K26" i="1" s="1"/>
  <c r="H26" i="1"/>
  <c r="I26" i="1" s="1"/>
  <c r="F26" i="1"/>
  <c r="G26" i="1" s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<sst xmlns="http://schemas.openxmlformats.org/spreadsheetml/2006/main" count="191" uniqueCount="66">
  <si>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</si>
  <si>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</si>
  <si>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</si>
  <si>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</si>
  <si>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</si>
  <si>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</si>
  <si>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</si>
  <si>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</si>
  <si>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</si>
  <si>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</si>
  <si>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</si>
  <si>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</si>
  <si>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</si>
  <si>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</si>
  <si>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</si>
  <si>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</si>
  <si>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</si>
  <si>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</si>
  <si>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</si>
  <si>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</si>
  <si>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</si>
  <si>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</si>
  <si>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</si>
  <si>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</si>
  <si>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</si>
  <si>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</si>
  <si>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</si>
  <si>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</si>
  <si>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</si>
  <si>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</si>
  <si>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</si>
  <si>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</si>
  <si>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</si>
  <si>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</si>
  <si>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</si>
  <si>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</si>
  <si>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</si>
  <si>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</si>
  <si>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</si>
  <si>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</si>
  <si>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</si>
  <si>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</si>
  <si>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</si>
  <si>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</si>
  <si>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</si>
  <si>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</si>
  <si>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</si>
  <si>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</si>
  <si>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</si>
  <si>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</si>
  <si>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</si>
  <si>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</si>
  <si>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</si>
  <si>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</si>
  <si>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</si>
  <si>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</si>
  <si>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</si>
  <si>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</si>
  <si>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</si>
  <si>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</si>
  <si>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</si>
  <si>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</si>
  <si>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</si>
  <si>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Marcelo Darras</t>
  </si>
  <si>
    <t>Jesus Delgado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</si>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</sst>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73" sqref="D73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 x14ac:dyDescent="0.25">
      <c r="A11" s="48" t="s">
        <v>4</v>
      </c>
      <c r="B11" s="11" t="str">
        <f>B4</f>
        <v>Marcelo Darras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65</v>
      </c>
      <c r="E13" s="12">
        <f>IF(D13="X",100*0.15,"")</f>
        <v>15</v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65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65</v>
      </c>
      <c r="E15" s="12">
        <f>IF(D15="X",100*0.2,"")</f>
        <v>20</v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65</v>
      </c>
      <c r="E16" s="12">
        <f>IF(D16="X",100*0.05,"")</f>
        <v>5</v>
      </c>
      <c r="F16" s="12" t="str">
        <f t="shared" si="1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65</v>
      </c>
      <c r="E17" s="12">
        <f>IF(D17="X",100*0.05,"")</f>
        <v>5</v>
      </c>
      <c r="F17" s="12" t="str">
        <f t="shared" si="1"/>
        <v/>
      </c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65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65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Jesus Delgado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65</v>
      </c>
      <c r="E26" s="12">
        <f>IF(D26="X",100*0.15,"")</f>
        <v>15</v>
      </c>
      <c r="F26" s="12" t="str">
        <f t="shared" ref="F26:F30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65</v>
      </c>
      <c r="E27" s="12">
        <f>IF(D27="X",100*0.25,"")</f>
        <v>25</v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65</v>
      </c>
      <c r="E28" s="12">
        <f>IF(D28="X",100*0.2,"")</f>
        <v>20</v>
      </c>
      <c r="F28" s="12" t="str">
        <f t="shared" si="6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65</v>
      </c>
      <c r="E29" s="12">
        <f>IF(D29="X",100*0.05,"")</f>
        <v>5</v>
      </c>
      <c r="F29" s="12" t="str">
        <f t="shared" si="6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65</v>
      </c>
      <c r="E30" s="12">
        <f>IF(D30="X",100*0.05,"")</f>
        <v>5</v>
      </c>
      <c r="F30" s="12" t="str">
        <f t="shared" si="6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65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65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tr">
        <f t="shared" si="10"/>
        <v/>
      </c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tr">
        <f t="shared" si="10"/>
        <v/>
      </c>
      <c r="G42" s="12" t="str">
        <f>IF(F42="X",60*0.05,"")</f>
        <v/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si="10"/>
        <v/>
      </c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 t="e">
        <f>VLOOKUP(C46,ESCALA_IEP!A28:B228,2,FALSE)</f>
        <v>#N/A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Marcelo Darras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65</v>
      </c>
      <c r="E52" s="12">
        <f>IF(D52="X",100*0.15,"")</f>
        <v>15</v>
      </c>
      <c r="F52" s="12" t="str">
        <f t="shared" ref="F52:F56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65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65</v>
      </c>
      <c r="E54" s="12">
        <f>IF(D54="X",100*0.2,"")</f>
        <v>20</v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65</v>
      </c>
      <c r="E55" s="12">
        <f>IF(D55="X",100*0.05,"")</f>
        <v>5</v>
      </c>
      <c r="F55" s="12" t="str">
        <f t="shared" si="14"/>
        <v/>
      </c>
      <c r="G55" s="12" t="str">
        <f>IF(F55="X",60*0.05,"")</f>
        <v/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">
        <v>65</v>
      </c>
      <c r="E56" s="12">
        <f>IF(D56="X",100*0.05,"")</f>
        <v>5</v>
      </c>
      <c r="F56" s="12" t="str">
        <f t="shared" si="14"/>
        <v/>
      </c>
      <c r="G56" s="12" t="str">
        <f>IF(F56="X",60*0.05,"")</f>
        <v/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65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65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Jesus Delgado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65</v>
      </c>
      <c r="E65" s="12">
        <f>IF(D65="X",100*0.15,"")</f>
        <v>15</v>
      </c>
      <c r="F65" s="12" t="str">
        <f t="shared" ref="F65:F69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65</v>
      </c>
      <c r="E66" s="12">
        <f>IF(D66="X",100*0.25,"")</f>
        <v>25</v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65</v>
      </c>
      <c r="E67" s="12">
        <f>IF(D67="X",100*0.2,"")</f>
        <v>20</v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65</v>
      </c>
      <c r="E68" s="12">
        <f>IF(D68="X",100*0.05,"")</f>
        <v>5</v>
      </c>
      <c r="F68" s="12" t="str">
        <f t="shared" si="18"/>
        <v/>
      </c>
      <c r="G68" s="12" t="str">
        <f>IF(F68="X",60*0.05,"")</f>
        <v/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">
        <v>65</v>
      </c>
      <c r="E69" s="12">
        <f>IF(D69="X",100*0.05,"")</f>
        <v>5</v>
      </c>
      <c r="F69" s="12" t="str">
        <f t="shared" si="18"/>
        <v/>
      </c>
      <c r="G69" s="12" t="str">
        <f>IF(F69="X",60*0.05,"")</f>
        <v/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65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65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22"/>
        <v/>
      </c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22"/>
        <v/>
      </c>
      <c r="G81" s="12" t="str">
        <f>IF(F81="X",60*0.05,"")</f>
        <v/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22"/>
        <v/>
      </c>
      <c r="G82" s="12" t="str">
        <f>IF(F82="X",60*0.05,"")</f>
        <v/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5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disablePrompts="1"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2025-12-11T18:37:12Z</dcterms:modified>
  <cp:category/>
  <cp:contentStatus/>
</cp:coreProperties>
</file>